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b22eae5e47acc/Desktop/Student performance data analysis/"/>
    </mc:Choice>
  </mc:AlternateContent>
  <xr:revisionPtr revIDLastSave="0" documentId="8_{FFDCED4F-04B8-4F3F-8B96-F162D6B696ED}" xr6:coauthVersionLast="47" xr6:coauthVersionMax="47" xr10:uidLastSave="{00000000-0000-0000-0000-000000000000}"/>
  <bookViews>
    <workbookView xWindow="-120" yWindow="-120" windowWidth="20730" windowHeight="11040" xr2:uid="{6BE76D7B-6FE0-4DC2-BE2F-B4C66E51A5EF}"/>
  </bookViews>
  <sheets>
    <sheet name="Sheet1" sheetId="1" r:id="rId1"/>
  </sheets>
  <definedNames>
    <definedName name="_xlnm._FilterDatabase" localSheetId="0" hidden="1">Sheet1!$C$9:$C$13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27" i="1"/>
  <c r="B26" i="1"/>
  <c r="B25" i="1"/>
  <c r="B24" i="1"/>
  <c r="D13" i="1"/>
  <c r="D12" i="1"/>
  <c r="D11" i="1"/>
  <c r="D10" i="1"/>
  <c r="C13" i="1"/>
  <c r="C12" i="1"/>
  <c r="C11" i="1"/>
  <c r="H3" i="1"/>
  <c r="C10" i="1"/>
  <c r="B12" i="1"/>
  <c r="B11" i="1"/>
  <c r="B13" i="1"/>
  <c r="B10" i="1"/>
  <c r="I3" i="1"/>
  <c r="I4" i="1"/>
  <c r="I5" i="1"/>
  <c r="I6" i="1"/>
  <c r="I2" i="1"/>
  <c r="K3" i="1"/>
  <c r="K4" i="1"/>
  <c r="K5" i="1"/>
  <c r="K6" i="1"/>
  <c r="J3" i="1"/>
  <c r="J4" i="1"/>
  <c r="J5" i="1"/>
  <c r="J6" i="1"/>
  <c r="K2" i="1"/>
  <c r="J2" i="1"/>
  <c r="H4" i="1"/>
  <c r="H5" i="1"/>
  <c r="H6" i="1"/>
  <c r="H2" i="1"/>
</calcChain>
</file>

<file path=xl/sharedStrings.xml><?xml version="1.0" encoding="utf-8"?>
<sst xmlns="http://schemas.openxmlformats.org/spreadsheetml/2006/main" count="49" uniqueCount="28">
  <si>
    <t>Student ID</t>
  </si>
  <si>
    <t>Name</t>
  </si>
  <si>
    <t>Gender</t>
  </si>
  <si>
    <t>Maths</t>
  </si>
  <si>
    <t>Programming</t>
  </si>
  <si>
    <t>English</t>
  </si>
  <si>
    <t>Statistics</t>
  </si>
  <si>
    <t>Total</t>
  </si>
  <si>
    <t>Average</t>
  </si>
  <si>
    <t>Ananya</t>
  </si>
  <si>
    <t>F</t>
  </si>
  <si>
    <t>Rahul</t>
  </si>
  <si>
    <t>M</t>
  </si>
  <si>
    <t>Sneha</t>
  </si>
  <si>
    <t>Arjun</t>
  </si>
  <si>
    <t>Priya</t>
  </si>
  <si>
    <t>Max</t>
  </si>
  <si>
    <t>Min</t>
  </si>
  <si>
    <t>Subject</t>
  </si>
  <si>
    <t>Average Marks</t>
  </si>
  <si>
    <t>Highest Marks</t>
  </si>
  <si>
    <t>Lowest Marks</t>
  </si>
  <si>
    <t>Overall Class Average</t>
  </si>
  <si>
    <t>highest Student Average</t>
  </si>
  <si>
    <t>Lowest Student Average</t>
  </si>
  <si>
    <t>Number of Students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</si>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</sst>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Marks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Sheet1!$B$9</c:f>
              <c:strCache>
                <c:ptCount val="1"/>
                <c:pt idx="0">
                  <c:v>Average Marks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75.599999999999994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0-42FC-9D29-0FD57B8ACC3E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Programming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Sheet1!$B$9</c:f>
              <c:strCache>
                <c:ptCount val="1"/>
                <c:pt idx="0">
                  <c:v>Average Marks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0-42FC-9D29-0FD57B8ACC3E}"/>
            </c:ext>
          </c:extLst>
        </c:ser>
        <c:ser>
          <c:idx val="2"/>
          <c:order val="2"/>
          <c:tx>
            <c:strRef>
              <c:f>Sheet1!$A$12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Sheet1!$B$9</c:f>
              <c:strCache>
                <c:ptCount val="1"/>
                <c:pt idx="0">
                  <c:v>Average Marks</c:v>
                </c:pt>
              </c:strCache>
            </c:strRef>
          </c:cat>
          <c:val>
            <c:numRef>
              <c:f>Sheet1!$B$12</c:f>
              <c:numCache>
                <c:formatCode>General</c:formatCode>
                <c:ptCount val="1"/>
                <c:pt idx="0">
                  <c:v>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0-42FC-9D29-0FD57B8ACC3E}"/>
            </c:ext>
          </c:extLst>
        </c:ser>
        <c:ser>
          <c:idx val="3"/>
          <c:order val="3"/>
          <c:tx>
            <c:strRef>
              <c:f>Sheet1!$A$13</c:f>
              <c:strCache>
                <c:ptCount val="1"/>
                <c:pt idx="0">
                  <c:v>Statistics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Sheet1!$B$9</c:f>
              <c:strCache>
                <c:ptCount val="1"/>
                <c:pt idx="0">
                  <c:v>Average Marks</c:v>
                </c:pt>
              </c:strCache>
            </c:strRef>
          </c:cat>
          <c:val>
            <c:numRef>
              <c:f>Sheet1!$B$13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0-42FC-9D29-0FD57B8AC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380799"/>
        <c:axId val="703894511"/>
      </c:barChart>
      <c:catAx>
        <c:axId val="6993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94511"/>
        <c:crosses val="autoZero"/>
        <c:auto val="1"/>
        <c:lblAlgn val="ctr"/>
        <c:lblOffset val="100"/>
        <c:noMultiLvlLbl val="0"/>
      </c:catAx>
      <c:valAx>
        <c:axId val="7038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3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</a:t>
            </a:r>
            <a:r>
              <a:rPr lang="en-IN" baseline="0"/>
              <a:t> and Lowest Marks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Highest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Sheet1!$A$18:$A$21</c:f>
              <c:strCache>
                <c:ptCount val="4"/>
                <c:pt idx="0">
                  <c:v>Maths</c:v>
                </c:pt>
                <c:pt idx="1">
                  <c:v>Programming</c:v>
                </c:pt>
                <c:pt idx="2">
                  <c:v>English</c:v>
                </c:pt>
                <c:pt idx="3">
                  <c:v>Statistics</c:v>
                </c:pt>
              </c:strCache>
            </c:strRef>
          </c:cat>
          <c:val>
            <c:numRef>
              <c:f>Sheet1!$B$18:$B$21</c:f>
              <c:numCache>
                <c:formatCode>General</c:formatCode>
                <c:ptCount val="4"/>
                <c:pt idx="0">
                  <c:v>92</c:v>
                </c:pt>
                <c:pt idx="1">
                  <c:v>91</c:v>
                </c:pt>
                <c:pt idx="2">
                  <c:v>85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E-418D-880F-DB939CC80282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Lowest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Sheet1!$A$18:$A$21</c:f>
              <c:strCache>
                <c:ptCount val="4"/>
                <c:pt idx="0">
                  <c:v>Maths</c:v>
                </c:pt>
                <c:pt idx="1">
                  <c:v>Programming</c:v>
                </c:pt>
                <c:pt idx="2">
                  <c:v>English</c:v>
                </c:pt>
                <c:pt idx="3">
                  <c:v>Statistics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56</c:v>
                </c:pt>
                <c:pt idx="1">
                  <c:v>62</c:v>
                </c:pt>
                <c:pt idx="2">
                  <c:v>68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E-418D-880F-DB939CC80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56687"/>
        <c:axId val="189538383"/>
      </c:barChart>
      <c:catAx>
        <c:axId val="1299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8383"/>
        <c:crosses val="autoZero"/>
        <c:auto val="1"/>
        <c:lblAlgn val="ctr"/>
        <c:lblOffset val="100"/>
        <c:noMultiLvlLbl val="0"/>
      </c:catAx>
      <c:valAx>
        <c:axId val="1895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Sheet1!$A$34:$A$38</c:f>
              <c:strCache>
                <c:ptCount val="5"/>
                <c:pt idx="0">
                  <c:v>Ananya</c:v>
                </c:pt>
                <c:pt idx="1">
                  <c:v>Rahul</c:v>
                </c:pt>
                <c:pt idx="2">
                  <c:v>Sneha</c:v>
                </c:pt>
                <c:pt idx="3">
                  <c:v>Arjun</c:v>
                </c:pt>
                <c:pt idx="4">
                  <c:v>Priya</c:v>
                </c:pt>
              </c:strCache>
            </c:strRef>
          </c:cat>
          <c:val>
            <c:numRef>
              <c:f>Sheet1!$B$34:$B$38</c:f>
              <c:numCache>
                <c:formatCode>General</c:formatCode>
                <c:ptCount val="5"/>
                <c:pt idx="0">
                  <c:v>78.75</c:v>
                </c:pt>
                <c:pt idx="1">
                  <c:v>70</c:v>
                </c:pt>
                <c:pt idx="2">
                  <c:v>88.75</c:v>
                </c:pt>
                <c:pt idx="3">
                  <c:v>63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6-40ED-B859-C98A2B48B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158223"/>
        <c:axId val="189314223"/>
      </c:barChart>
      <c:catAx>
        <c:axId val="74115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4223"/>
        <c:crosses val="autoZero"/>
        <c:auto val="1"/>
        <c:lblAlgn val="ctr"/>
        <c:lblOffset val="100"/>
        <c:noMultiLvlLbl val="0"/>
      </c:catAx>
      <c:valAx>
        <c:axId val="18931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5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6</xdr:row>
      <xdr:rowOff>42863</xdr:rowOff>
    </xdr:from>
    <xdr:to>
      <xdr:col>10</xdr:col>
      <xdr:colOff>257175</xdr:colOff>
      <xdr:row>17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79D94-3F96-8B3F-B31E-64E624383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18</xdr:row>
      <xdr:rowOff>4762</xdr:rowOff>
    </xdr:from>
    <xdr:to>
      <xdr:col>10</xdr:col>
      <xdr:colOff>447675</xdr:colOff>
      <xdr:row>30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F8480D-D1FA-E20C-7173-B62FAD01C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752475</xdr:colOff>
      <xdr:row>32</xdr:row>
      <xdr:rowOff>14287</xdr:rowOff>
    </xdr:from>
    <xdr:to>
      <xdr:col>9</xdr:col>
      <xdr:colOff>47625</xdr:colOff>
      <xdr:row>43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F97281-DFAC-8B6A-FA18-3D6542F05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40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1A12174-037B-45C3-93DA-8D1A2FC78C04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630B35F-C37C-479A-A1D2-B13D375E7824}">
  <we:reference id="wa200000018" version="25.2.0.0" store="en-US" storeType="OMEX"/>
  <we:alternateReferences>
    <we:reference id="WA200000018" version="25.2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9F6B-41FE-4803-AC42-806A3A7E0CF5}">
  <dimension ref="A1:K38"/>
  <sheetViews>
    <sheetView tabSelected="1" topLeftCell="A28" workbookViewId="0">
      <selection activeCell="L36" sqref="L36"/>
    </sheetView>
  </sheetViews>
  <sheetFormatPr defaultRowHeight="15" x14ac:dyDescent="0.25"/>
  <cols>
    <col min="1" max="1" width="22.140625" customWidth="1"/>
    <col min="2" max="2" width="13.7109375" customWidth="1"/>
    <col min="3" max="3" width="13" customWidth="1"/>
    <col min="4" max="4" width="12.85546875" customWidth="1"/>
    <col min="5" max="5" width="12.5703125" customWidth="1"/>
    <col min="10" max="10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</row>
    <row r="2" spans="1:11" x14ac:dyDescent="0.25">
      <c r="A2">
        <v>101</v>
      </c>
      <c r="B2" t="s">
        <v>9</v>
      </c>
      <c r="C2" t="s">
        <v>10</v>
      </c>
      <c r="D2">
        <v>78</v>
      </c>
      <c r="E2">
        <v>85</v>
      </c>
      <c r="F2">
        <v>72</v>
      </c>
      <c r="G2">
        <v>80</v>
      </c>
      <c r="H2">
        <f>SUM(C2:G2)</f>
        <v>315</v>
      </c>
      <c r="I2">
        <f>AVERAGE(D2:G2)</f>
        <v>78.75</v>
      </c>
      <c r="J2">
        <f>MAX(D2:G2)</f>
        <v>85</v>
      </c>
      <c r="K2">
        <f>MIN(D2:G2)</f>
        <v>72</v>
      </c>
    </row>
    <row r="3" spans="1:11" x14ac:dyDescent="0.25">
      <c r="A3">
        <v>102</v>
      </c>
      <c r="B3" t="s">
        <v>11</v>
      </c>
      <c r="C3" t="s">
        <v>12</v>
      </c>
      <c r="D3">
        <v>68</v>
      </c>
      <c r="E3">
        <v>74</v>
      </c>
      <c r="F3">
        <v>68</v>
      </c>
      <c r="G3">
        <v>70</v>
      </c>
      <c r="H3">
        <f>SUM(C3:G3)</f>
        <v>280</v>
      </c>
      <c r="I3">
        <f t="shared" ref="I3:I6" si="0">AVERAGE(D3:G3)</f>
        <v>70</v>
      </c>
      <c r="J3">
        <f t="shared" ref="J3:J6" si="1">MAX(D3:G3)</f>
        <v>74</v>
      </c>
      <c r="K3">
        <f t="shared" ref="K3:K6" si="2">MIN(D3:G3)</f>
        <v>68</v>
      </c>
    </row>
    <row r="4" spans="1:11" x14ac:dyDescent="0.25">
      <c r="A4">
        <v>103</v>
      </c>
      <c r="B4" t="s">
        <v>13</v>
      </c>
      <c r="C4" t="s">
        <v>10</v>
      </c>
      <c r="D4">
        <v>92</v>
      </c>
      <c r="E4">
        <v>88</v>
      </c>
      <c r="F4">
        <v>85</v>
      </c>
      <c r="G4">
        <v>90</v>
      </c>
      <c r="H4">
        <f t="shared" ref="H3:H6" si="3">SUM(C4:G4)</f>
        <v>355</v>
      </c>
      <c r="I4">
        <f t="shared" si="0"/>
        <v>88.75</v>
      </c>
      <c r="J4">
        <f t="shared" si="1"/>
        <v>92</v>
      </c>
      <c r="K4">
        <f t="shared" si="2"/>
        <v>85</v>
      </c>
    </row>
    <row r="5" spans="1:11" x14ac:dyDescent="0.25">
      <c r="A5">
        <v>104</v>
      </c>
      <c r="B5" t="s">
        <v>14</v>
      </c>
      <c r="C5" t="s">
        <v>12</v>
      </c>
      <c r="D5">
        <v>56</v>
      </c>
      <c r="E5">
        <v>62</v>
      </c>
      <c r="F5">
        <v>70</v>
      </c>
      <c r="G5">
        <v>64</v>
      </c>
      <c r="H5">
        <f t="shared" si="3"/>
        <v>252</v>
      </c>
      <c r="I5">
        <f t="shared" si="0"/>
        <v>63</v>
      </c>
      <c r="J5">
        <f t="shared" si="1"/>
        <v>70</v>
      </c>
      <c r="K5">
        <f t="shared" si="2"/>
        <v>56</v>
      </c>
    </row>
    <row r="6" spans="1:11" x14ac:dyDescent="0.25">
      <c r="A6">
        <v>105</v>
      </c>
      <c r="B6" t="s">
        <v>15</v>
      </c>
      <c r="C6" t="s">
        <v>10</v>
      </c>
      <c r="D6">
        <v>84</v>
      </c>
      <c r="E6">
        <v>91</v>
      </c>
      <c r="F6">
        <v>79</v>
      </c>
      <c r="G6">
        <v>86</v>
      </c>
      <c r="H6">
        <f t="shared" si="3"/>
        <v>340</v>
      </c>
      <c r="I6">
        <f t="shared" si="0"/>
        <v>85</v>
      </c>
      <c r="J6">
        <f t="shared" si="1"/>
        <v>91</v>
      </c>
      <c r="K6">
        <f t="shared" si="2"/>
        <v>79</v>
      </c>
    </row>
    <row r="9" spans="1:11" x14ac:dyDescent="0.25">
      <c r="A9" t="s">
        <v>18</v>
      </c>
      <c r="B9" t="s">
        <v>19</v>
      </c>
      <c r="C9" t="s">
        <v>20</v>
      </c>
      <c r="D9" t="s">
        <v>21</v>
      </c>
    </row>
    <row r="10" spans="1:11" x14ac:dyDescent="0.25">
      <c r="A10" t="s">
        <v>3</v>
      </c>
      <c r="B10">
        <f>AVERAGE(D2:D6)</f>
        <v>75.599999999999994</v>
      </c>
      <c r="C10">
        <f>MAX(D2:D6)</f>
        <v>92</v>
      </c>
      <c r="D10">
        <f>MIN(D2:D6)</f>
        <v>56</v>
      </c>
    </row>
    <row r="11" spans="1:11" x14ac:dyDescent="0.25">
      <c r="A11" t="s">
        <v>4</v>
      </c>
      <c r="B11">
        <f>AVERAGE(E2:E6)</f>
        <v>80</v>
      </c>
      <c r="C11">
        <f>MAX(E2:E6)</f>
        <v>91</v>
      </c>
      <c r="D11">
        <f>MIN(E2:E6)</f>
        <v>62</v>
      </c>
    </row>
    <row r="12" spans="1:11" x14ac:dyDescent="0.25">
      <c r="A12" t="s">
        <v>5</v>
      </c>
      <c r="B12">
        <f>AVERAGE(F2:F6)</f>
        <v>74.8</v>
      </c>
      <c r="C12">
        <f>MAX(F2:F6)</f>
        <v>85</v>
      </c>
      <c r="D12">
        <f>MIN(F2:F6)</f>
        <v>68</v>
      </c>
    </row>
    <row r="13" spans="1:11" x14ac:dyDescent="0.25">
      <c r="A13" t="s">
        <v>6</v>
      </c>
      <c r="B13">
        <f>AVERAGE(G2:G6)</f>
        <v>78</v>
      </c>
      <c r="C13">
        <f>MAX(G2:G6)</f>
        <v>90</v>
      </c>
      <c r="D13">
        <f>MIN(G2:G6)</f>
        <v>64</v>
      </c>
    </row>
    <row r="17" spans="1:3" x14ac:dyDescent="0.25">
      <c r="A17" t="s">
        <v>18</v>
      </c>
      <c r="B17" t="s">
        <v>20</v>
      </c>
      <c r="C17" t="s">
        <v>21</v>
      </c>
    </row>
    <row r="18" spans="1:3" x14ac:dyDescent="0.25">
      <c r="A18" t="s">
        <v>3</v>
      </c>
      <c r="B18">
        <f>MAX(C10:C14)</f>
        <v>92</v>
      </c>
      <c r="C18">
        <v>56</v>
      </c>
    </row>
    <row r="19" spans="1:3" x14ac:dyDescent="0.25">
      <c r="A19" t="s">
        <v>4</v>
      </c>
      <c r="B19">
        <v>91</v>
      </c>
      <c r="C19">
        <v>62</v>
      </c>
    </row>
    <row r="20" spans="1:3" x14ac:dyDescent="0.25">
      <c r="A20" t="s">
        <v>5</v>
      </c>
      <c r="B20">
        <v>85</v>
      </c>
      <c r="C20">
        <v>68</v>
      </c>
    </row>
    <row r="21" spans="1:3" x14ac:dyDescent="0.25">
      <c r="A21" t="s">
        <v>6</v>
      </c>
      <c r="B21">
        <v>90</v>
      </c>
      <c r="C21">
        <v>64</v>
      </c>
    </row>
    <row r="23" spans="1:3" x14ac:dyDescent="0.25">
      <c r="A23" t="s">
        <v>26</v>
      </c>
      <c r="B23" t="s">
        <v>27</v>
      </c>
    </row>
    <row r="24" spans="1:3" x14ac:dyDescent="0.25">
      <c r="A24" t="s">
        <v>22</v>
      </c>
      <c r="B24">
        <f>AVERAGE(I2:I6)</f>
        <v>77.099999999999994</v>
      </c>
    </row>
    <row r="25" spans="1:3" x14ac:dyDescent="0.25">
      <c r="A25" t="s">
        <v>23</v>
      </c>
      <c r="B25">
        <f>MAX(I2:I6)</f>
        <v>88.75</v>
      </c>
    </row>
    <row r="26" spans="1:3" x14ac:dyDescent="0.25">
      <c r="A26" t="s">
        <v>24</v>
      </c>
      <c r="B26">
        <f>MIN(I2:I6)</f>
        <v>63</v>
      </c>
    </row>
    <row r="27" spans="1:3" x14ac:dyDescent="0.25">
      <c r="A27" t="s">
        <v>25</v>
      </c>
      <c r="B27">
        <f>COUNT(I2:I7)</f>
        <v>5</v>
      </c>
    </row>
    <row r="33" spans="1:2" x14ac:dyDescent="0.25">
      <c r="A33" t="s">
        <v>1</v>
      </c>
      <c r="B33" t="s">
        <v>8</v>
      </c>
    </row>
    <row r="34" spans="1:2" x14ac:dyDescent="0.25">
      <c r="A34" t="s">
        <v>9</v>
      </c>
      <c r="B34">
        <v>78.75</v>
      </c>
    </row>
    <row r="35" spans="1:2" x14ac:dyDescent="0.25">
      <c r="A35" t="s">
        <v>11</v>
      </c>
      <c r="B35">
        <v>70</v>
      </c>
    </row>
    <row r="36" spans="1:2" x14ac:dyDescent="0.25">
      <c r="A36" t="s">
        <v>13</v>
      </c>
      <c r="B36">
        <v>88.75</v>
      </c>
    </row>
    <row r="37" spans="1:2" x14ac:dyDescent="0.25">
      <c r="A37" t="s">
        <v>14</v>
      </c>
      <c r="B37">
        <v>63</v>
      </c>
    </row>
    <row r="38" spans="1:2" x14ac:dyDescent="0.25">
      <c r="A38" t="s">
        <v>15</v>
      </c>
      <c r="B38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Mahi</dc:creator>
  <cp:lastModifiedBy>Vidya Mahi</cp:lastModifiedBy>
  <dcterms:created xsi:type="dcterms:W3CDTF">2026-09-04T12:02:37Z</dcterms:created>
  <dcterms:modified xsi:type="dcterms:W3CDTF">2026-09-04T12:56:15Z</dcterms:modified>
</cp:coreProperties>
</file>